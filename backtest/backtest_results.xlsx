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cyrus/Downloads/"/>
    </mc:Choice>
  </mc:AlternateContent>
  <xr:revisionPtr revIDLastSave="0" documentId="13_ncr:1_{A5E2F6D8-038F-1F40-B830-C4EC8D9436A4}" xr6:coauthVersionLast="43" xr6:coauthVersionMax="43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40" i="2" l="1"/>
  <c r="K40" i="2"/>
  <c r="K41" i="2" s="1"/>
  <c r="J40" i="2"/>
  <c r="I40" i="2"/>
  <c r="I41" i="2" s="1"/>
  <c r="H40" i="2"/>
  <c r="G40" i="2"/>
  <c r="F40" i="2"/>
  <c r="E40" i="2"/>
  <c r="D40" i="2"/>
  <c r="D42" i="2" s="1"/>
  <c r="C40" i="2"/>
  <c r="B40" i="2"/>
  <c r="B41" i="2" s="1"/>
  <c r="D29" i="2"/>
  <c r="L27" i="2"/>
  <c r="K27" i="2"/>
  <c r="K28" i="2" s="1"/>
  <c r="J27" i="2"/>
  <c r="I27" i="2"/>
  <c r="I28" i="2" s="1"/>
  <c r="H27" i="2"/>
  <c r="G27" i="2"/>
  <c r="F27" i="2"/>
  <c r="E27" i="2"/>
  <c r="D27" i="2"/>
  <c r="C27" i="2"/>
  <c r="B27" i="2"/>
  <c r="B28" i="2" s="1"/>
  <c r="D16" i="2"/>
  <c r="K15" i="2"/>
  <c r="L14" i="2"/>
  <c r="K14" i="2"/>
  <c r="J14" i="2"/>
  <c r="I14" i="2"/>
  <c r="I15" i="2" s="1"/>
  <c r="H14" i="2"/>
  <c r="G14" i="2"/>
  <c r="F14" i="2"/>
  <c r="E14" i="2"/>
  <c r="D14" i="2"/>
  <c r="C14" i="2"/>
  <c r="B14" i="2"/>
  <c r="B15" i="2" s="1"/>
</calcChain>
</file>

<file path=xl/sharedStrings.xml><?xml version="1.0" encoding="utf-8"?>
<sst xmlns="http://schemas.openxmlformats.org/spreadsheetml/2006/main" count="28" uniqueCount="23">
  <si>
    <t>Period</t>
  </si>
  <si>
    <t>Conditions</t>
  </si>
  <si>
    <t>SPY_cT80_pT55_maTf45s100_m1520Tf40s115_e40Tf35s140_e60Tf25s200_e120Tf30s300_v20F_e40T_e60T_e120T_l2_subL12_pThres0.7_maT_strictT_outF30m_minMatchC5_minSidedMatchC4_minR0.0005_reachMedT_hitCeOrBoOneThirdSubL_goOpHalfSubL</t>
  </si>
  <si>
    <t>SPY_cT80_pT55_maTf45s100_m1520Tf40s115_e40Tf35s140_e60Tf30s200_e120Tf35s300_v20F_e40T_e60T_e120T_l2_subL12_pThres0.7_maT_strictT_outF30m_minMatchC5_minSidedMatchC4_minR0.0005_reachMedT_hitCeOrBoOneThirdSubL_goOpHalfSubL</t>
  </si>
  <si>
    <t>SPY_cT80_pT55_maTf45s100_m1520Tf40s115_e40Tf35s140_e60Tf35s200_e120Tf40s300_v20F_e40T_e60T_e120T_l2_subL8_pThres0.7_maT_strictT_outF30m_minMatchC5_minSidedMatchC4_minR0.0005_reachMedT_hitCeOrBoOneThirdSubL_goOpHalfSubL</t>
  </si>
  <si>
    <t>SPY_cT80_pT55_maTf45s100_m1520Tf40s115_e40Tf35s140_e60Tf40s200_e120Tf45s300_v20F_e40T_e60T_e120T_l2_subL10_pThres0.7_maT_strictT_outF30m_minMatchC5_minSidedMatchC4_minR0.0005_reachMedT_hitCeOrBoOneThirdSubL_goOpHalfSubL</t>
  </si>
  <si>
    <t>SPY_cT80_pT55_maTf45s100_m1520Tf40s115_e40Tf35s140_e60Tf30s200_e120Tf25s300_v20F_e40T_e60T_e120T_l2_subL12_pThres0.7_maT_strictT_outF30m_minMatchC5_minSidedMatchC4_minR0.0005_reachMedT_hitCeOrBoOneThirdSubL_goOpHalfSubL</t>
  </si>
  <si>
    <t>SPY_cT80_pT55_maTf45s100_m1520Tf40s115_e40Tf35s140_e60Tf35s200_e120Tf30s300_v20F_e40T_e60T_e120T_l2_subL12_pThres0.7_maT_strictT_outF30m_minMatchC5_minSidedMatchC4_minR0.0005_reachMedT_hitCeOrBoOneThirdSubL_goOpHalfSubL</t>
  </si>
  <si>
    <t>SPY_cT80_pT55_maTf45s100_m1520Tf40s115_e40Tf35s140_e60Tf40s200_e120Tf35s300_v20F_e40T_e60T_e120T_l2_subL12_pThres0.7_maT_strictT_outF30m_minMatchC5_minSidedMatchC4_minR0.0005_reachMedT_hitCeOrBoOneThirdSubL_goOpHalfSubL</t>
  </si>
  <si>
    <t>SPY_cT80_pT55_maTf45s100_m1520Tf40s115_e40Tf35s140_e60Tf35s200_e120Tf40s300_v20F_e40T_e60T_e120T_l2_subL10_pThres0.7_maT_strictT_outF30m_minMatchC5_minSidedMatchC4_minR0.0005_reachMedT_hitCeOrBoOneThirdSubL_goOpHalfSubL</t>
  </si>
  <si>
    <t>SPY_cT80_pT55_maTf45s100_m1520Tf40s115_e40Tf35s140_e60Tf35s200_e120Tf40s300_v20F_e40T_e60T_e120T_l2_subL12_pThres0.7_maT_strictT_outF30m_minMatchC5_minSidedMatchC4_minR0.0005_reachMedT_hitCeOrBoOneThirdSubL_goOpHalfSubL</t>
  </si>
  <si>
    <t>SPY_cT80_pT55_maTf45s100_m1520Tf40s115_e40Tf35s140_e60Tf40s200_e120Tf45s300_v20F_e40T_e60T_e120T_l2_subL12_pThres0.7_maT_strictT_outF30m_minMatchC5_minSidedMatchC4_minR0.0005_reachMedT_hitCeOrBoOneThirdSubL_goOpHalfSubL</t>
  </si>
  <si>
    <t>Simple conditions</t>
  </si>
  <si>
    <t>25 30</t>
  </si>
  <si>
    <t>30 35</t>
  </si>
  <si>
    <t>35 40</t>
  </si>
  <si>
    <t>40 45</t>
  </si>
  <si>
    <t>30 25</t>
  </si>
  <si>
    <t>35 30</t>
  </si>
  <si>
    <t>40 35</t>
  </si>
  <si>
    <t>Avg hit rate</t>
  </si>
  <si>
    <t>Avg MDD</t>
  </si>
  <si>
    <t>Avg final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</si>
</sst>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color rgb="FF00000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2"/>
  <sheetViews>
    <sheetView tabSelected="1" workbookViewId="0">
      <selection activeCell="N16" sqref="N16"/>
    </sheetView>
  </sheetViews>
  <sheetFormatPr baseColWidth="10" defaultColWidth="12.6640625" defaultRowHeight="15.75" customHeight="1" x14ac:dyDescent="0.15"/>
  <cols>
    <col min="1" max="1" width="16" customWidth="1"/>
  </cols>
  <sheetData>
    <row r="1" spans="1:12" ht="15.75" customHeight="1" x14ac:dyDescent="0.15">
      <c r="A1" s="2" t="s">
        <v>0</v>
      </c>
      <c r="B1" s="7">
        <v>8</v>
      </c>
      <c r="C1" s="6"/>
      <c r="D1" s="6"/>
      <c r="E1" s="6"/>
      <c r="F1" s="6"/>
      <c r="G1" s="6"/>
      <c r="H1" s="6"/>
      <c r="I1" s="7">
        <v>10</v>
      </c>
      <c r="J1" s="6"/>
      <c r="K1" s="7">
        <v>12</v>
      </c>
      <c r="L1" s="6"/>
    </row>
    <row r="2" spans="1:12" ht="15.75" customHeight="1" x14ac:dyDescent="0.15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10</v>
      </c>
      <c r="L2" s="1" t="s">
        <v>11</v>
      </c>
    </row>
    <row r="3" spans="1:12" ht="15.75" customHeight="1" x14ac:dyDescent="0.15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15</v>
      </c>
      <c r="J3" s="1" t="s">
        <v>16</v>
      </c>
      <c r="K3" s="1" t="s">
        <v>15</v>
      </c>
      <c r="L3" s="1" t="s">
        <v>16</v>
      </c>
    </row>
    <row r="4" spans="1:12" ht="15.75" customHeight="1" x14ac:dyDescent="0.15">
      <c r="B4" s="3">
        <v>5.3E-3</v>
      </c>
      <c r="C4" s="3">
        <v>2.0500000000000001E-2</v>
      </c>
      <c r="D4" s="3">
        <v>1.0999999999999999E-2</v>
      </c>
      <c r="E4" s="3">
        <v>7.1999999999999998E-3</v>
      </c>
      <c r="F4" s="3">
        <v>1.18E-2</v>
      </c>
      <c r="G4" s="3">
        <v>1.5100000000000001E-2</v>
      </c>
      <c r="H4" s="3">
        <v>3.1199999999999999E-2</v>
      </c>
      <c r="I4" s="3">
        <v>3.8399999999999997E-2</v>
      </c>
      <c r="J4" s="3">
        <v>2.8899999999999999E-2</v>
      </c>
      <c r="K4" s="3">
        <v>2.86E-2</v>
      </c>
      <c r="L4" s="3">
        <v>7.7000000000000002E-3</v>
      </c>
    </row>
    <row r="5" spans="1:12" ht="15.75" customHeight="1" x14ac:dyDescent="0.15">
      <c r="B5" s="3">
        <v>2.3699999999999999E-2</v>
      </c>
      <c r="C5" s="3">
        <v>4.2099999999999999E-2</v>
      </c>
      <c r="D5" s="3">
        <v>3.49E-2</v>
      </c>
      <c r="E5" s="3">
        <v>4.8500000000000001E-2</v>
      </c>
      <c r="F5" s="3">
        <v>8.6999999999999994E-3</v>
      </c>
      <c r="G5" s="3">
        <v>3.0200000000000001E-2</v>
      </c>
      <c r="H5" s="3">
        <v>2.0899999999999998E-2</v>
      </c>
      <c r="I5" s="3">
        <v>3.7600000000000001E-2</v>
      </c>
      <c r="J5" s="3">
        <v>1.6199999999999999E-2</v>
      </c>
      <c r="K5" s="3">
        <v>1.67E-2</v>
      </c>
      <c r="L5" s="3">
        <v>4.4600000000000001E-2</v>
      </c>
    </row>
    <row r="6" spans="1:12" ht="15.75" customHeight="1" x14ac:dyDescent="0.15">
      <c r="B6" s="3">
        <v>1.6299999999999999E-2</v>
      </c>
      <c r="C6" s="3">
        <v>2.3699999999999999E-2</v>
      </c>
      <c r="D6" s="3">
        <v>1.8100000000000002E-2</v>
      </c>
      <c r="E6" s="3">
        <v>1.66E-2</v>
      </c>
      <c r="F6" s="3">
        <v>1.2699999999999999E-2</v>
      </c>
      <c r="G6" s="3">
        <v>1.9599999999999999E-2</v>
      </c>
      <c r="H6" s="3">
        <v>9.2999999999999992E-3</v>
      </c>
      <c r="I6" s="3">
        <v>1.52E-2</v>
      </c>
      <c r="J6" s="3">
        <v>1.47E-2</v>
      </c>
      <c r="K6" s="3">
        <v>8.6999999999999994E-3</v>
      </c>
      <c r="L6" s="3">
        <v>4.1700000000000001E-2</v>
      </c>
    </row>
    <row r="7" spans="1:12" ht="15.75" customHeight="1" x14ac:dyDescent="0.15">
      <c r="B7" s="3">
        <v>1.3100000000000001E-2</v>
      </c>
      <c r="C7" s="3">
        <v>3.0599999999999999E-2</v>
      </c>
      <c r="D7" s="3">
        <v>2.6200000000000001E-2</v>
      </c>
      <c r="E7" s="3">
        <v>2.1899999999999999E-2</v>
      </c>
      <c r="F7" s="3">
        <v>3.1300000000000001E-2</v>
      </c>
      <c r="G7" s="3">
        <v>4.3700000000000003E-2</v>
      </c>
      <c r="H7" s="3">
        <v>7.7999999999999996E-3</v>
      </c>
      <c r="I7" s="3">
        <v>1.15E-2</v>
      </c>
      <c r="J7" s="3">
        <v>1.8800000000000001E-2</v>
      </c>
      <c r="K7" s="3">
        <v>3.61E-2</v>
      </c>
      <c r="L7" s="3">
        <v>2.2800000000000001E-2</v>
      </c>
    </row>
    <row r="8" spans="1:12" ht="15.75" customHeight="1" x14ac:dyDescent="0.15">
      <c r="B8" s="3">
        <v>4.7600000000000003E-2</v>
      </c>
      <c r="C8" s="3">
        <v>2.46E-2</v>
      </c>
      <c r="D8" s="3">
        <v>1.4200000000000001E-2</v>
      </c>
      <c r="E8" s="3">
        <v>6.6E-3</v>
      </c>
      <c r="F8" s="3">
        <v>1.24E-2</v>
      </c>
      <c r="G8" s="3">
        <v>3.8100000000000002E-2</v>
      </c>
      <c r="H8" s="3">
        <v>1.5800000000000002E-2</v>
      </c>
      <c r="I8" s="3">
        <v>1.3599999999999999E-2</v>
      </c>
      <c r="J8" s="3">
        <v>3.27E-2</v>
      </c>
      <c r="K8" s="3">
        <v>4.8599999999999997E-2</v>
      </c>
      <c r="L8" s="3">
        <v>2.3900000000000001E-2</v>
      </c>
    </row>
    <row r="9" spans="1:12" ht="15.75" customHeight="1" x14ac:dyDescent="0.15">
      <c r="B9" s="3">
        <v>2.0500000000000001E-2</v>
      </c>
      <c r="C9" s="3">
        <v>1.89E-2</v>
      </c>
      <c r="D9" s="3">
        <v>8.3000000000000001E-3</v>
      </c>
      <c r="E9" s="3">
        <v>7.0000000000000001E-3</v>
      </c>
      <c r="F9" s="3">
        <v>8.8999999999999999E-3</v>
      </c>
      <c r="G9" s="3">
        <v>1.55E-2</v>
      </c>
      <c r="H9" s="3">
        <v>5.3100000000000001E-2</v>
      </c>
    </row>
    <row r="10" spans="1:12" ht="15.75" customHeight="1" x14ac:dyDescent="0.15">
      <c r="B10" s="3">
        <v>3.0200000000000001E-2</v>
      </c>
      <c r="C10" s="3">
        <v>1.2699999999999999E-2</v>
      </c>
      <c r="D10" s="3">
        <v>3.3799999999999997E-2</v>
      </c>
      <c r="E10" s="3">
        <v>1.6299999999999999E-2</v>
      </c>
      <c r="F10" s="3">
        <v>2.18E-2</v>
      </c>
      <c r="G10" s="3">
        <v>1.41E-2</v>
      </c>
      <c r="H10" s="3">
        <v>5.4999999999999997E-3</v>
      </c>
    </row>
    <row r="11" spans="1:12" ht="15.75" customHeight="1" x14ac:dyDescent="0.15">
      <c r="B11" s="3">
        <v>7.9000000000000008E-3</v>
      </c>
      <c r="C11" s="3">
        <v>1.5299999999999999E-2</v>
      </c>
      <c r="D11" s="3">
        <v>3.1E-2</v>
      </c>
      <c r="E11" s="3">
        <v>3.6299999999999999E-2</v>
      </c>
      <c r="F11" s="3">
        <v>1.4E-2</v>
      </c>
      <c r="G11" s="3">
        <v>2.76E-2</v>
      </c>
      <c r="H11" s="3">
        <v>1.6899999999999998E-2</v>
      </c>
    </row>
    <row r="12" spans="1:12" ht="15.75" customHeight="1" x14ac:dyDescent="0.15">
      <c r="B12" s="3">
        <v>1.4999999999999999E-2</v>
      </c>
      <c r="C12" s="3">
        <v>2.3800000000000002E-2</v>
      </c>
      <c r="D12" s="3">
        <v>1.89E-2</v>
      </c>
      <c r="E12" s="3">
        <v>1.9800000000000002E-2</v>
      </c>
      <c r="F12" s="3">
        <v>1.9800000000000002E-2</v>
      </c>
      <c r="G12" s="3">
        <v>2.4299999999999999E-2</v>
      </c>
      <c r="H12" s="3">
        <v>2.4400000000000002E-2</v>
      </c>
    </row>
    <row r="13" spans="1:12" ht="15.75" customHeight="1" x14ac:dyDescent="0.15">
      <c r="B13" s="3">
        <v>3.8399999999999997E-2</v>
      </c>
      <c r="C13" s="3">
        <v>3.2800000000000003E-2</v>
      </c>
      <c r="D13" s="3">
        <v>2.2800000000000001E-2</v>
      </c>
      <c r="E13" s="3">
        <v>1.01E-2</v>
      </c>
      <c r="F13" s="3">
        <v>1.26E-2</v>
      </c>
      <c r="G13" s="3">
        <v>2.53E-2</v>
      </c>
      <c r="H13" s="3">
        <v>1.72E-2</v>
      </c>
    </row>
    <row r="14" spans="1:12" ht="15.75" customHeight="1" x14ac:dyDescent="0.15">
      <c r="A14" s="2" t="s">
        <v>20</v>
      </c>
      <c r="B14" s="4">
        <f t="shared" ref="B14:L14" si="0">AVERAGE(B4:B13)</f>
        <v>2.1799999999999996E-2</v>
      </c>
      <c r="C14" s="4">
        <f t="shared" si="0"/>
        <v>2.4500000000000001E-2</v>
      </c>
      <c r="D14" s="4">
        <f t="shared" si="0"/>
        <v>2.1920000000000002E-2</v>
      </c>
      <c r="E14" s="4">
        <f t="shared" si="0"/>
        <v>1.9029999999999998E-2</v>
      </c>
      <c r="F14" s="4">
        <f t="shared" si="0"/>
        <v>1.54E-2</v>
      </c>
      <c r="G14" s="4">
        <f t="shared" si="0"/>
        <v>2.5350000000000001E-2</v>
      </c>
      <c r="H14" s="4">
        <f t="shared" si="0"/>
        <v>2.0209999999999999E-2</v>
      </c>
      <c r="I14" s="4">
        <f t="shared" si="0"/>
        <v>2.3259999999999999E-2</v>
      </c>
      <c r="J14" s="4">
        <f t="shared" si="0"/>
        <v>2.2260000000000002E-2</v>
      </c>
      <c r="K14" s="4">
        <f t="shared" si="0"/>
        <v>2.7739999999999997E-2</v>
      </c>
      <c r="L14" s="4">
        <f t="shared" si="0"/>
        <v>2.8139999999999998E-2</v>
      </c>
    </row>
    <row r="15" spans="1:12" ht="15.75" customHeight="1" x14ac:dyDescent="0.15">
      <c r="B15" s="5">
        <f>AVERAGE(B14:H14)</f>
        <v>2.1172857142857143E-2</v>
      </c>
      <c r="C15" s="6"/>
      <c r="D15" s="6"/>
      <c r="E15" s="6"/>
      <c r="F15" s="6"/>
      <c r="G15" s="6"/>
      <c r="H15" s="6"/>
      <c r="I15" s="5">
        <f>AVERAGE(I14:J14)</f>
        <v>2.2760000000000002E-2</v>
      </c>
      <c r="J15" s="6"/>
      <c r="K15" s="5">
        <f>AVERAGE(K14:L14)</f>
        <v>2.794E-2</v>
      </c>
      <c r="L15" s="6"/>
    </row>
    <row r="16" spans="1:12" ht="15.75" customHeight="1" x14ac:dyDescent="0.15">
      <c r="D16" s="5">
        <f>AVERAGE(D14:E14)</f>
        <v>2.0475E-2</v>
      </c>
      <c r="E16" s="6"/>
    </row>
    <row r="17" spans="1:12" ht="15.75" customHeight="1" x14ac:dyDescent="0.15">
      <c r="B17" s="3">
        <v>1.6000000000000001E-3</v>
      </c>
      <c r="C17" s="3">
        <v>4.3E-3</v>
      </c>
      <c r="D17" s="3">
        <v>5.1999999999999998E-3</v>
      </c>
      <c r="E17" s="3">
        <v>1.8E-3</v>
      </c>
      <c r="F17" s="3">
        <v>3.2000000000000002E-3</v>
      </c>
      <c r="G17" s="3">
        <v>4.5999999999999999E-3</v>
      </c>
      <c r="H17" s="3">
        <v>8.8000000000000005E-3</v>
      </c>
      <c r="I17" s="3">
        <v>9.4000000000000004E-3</v>
      </c>
      <c r="J17" s="3">
        <v>3.8999999999999998E-3</v>
      </c>
      <c r="K17" s="3">
        <v>1.18E-2</v>
      </c>
      <c r="L17" s="3">
        <v>1.8E-3</v>
      </c>
    </row>
    <row r="18" spans="1:12" ht="15.75" customHeight="1" x14ac:dyDescent="0.15">
      <c r="B18" s="3">
        <v>4.7999999999999996E-3</v>
      </c>
      <c r="C18" s="3">
        <v>1.01E-2</v>
      </c>
      <c r="D18" s="3">
        <v>2.8999999999999998E-3</v>
      </c>
      <c r="E18" s="3">
        <v>1.6299999999999999E-2</v>
      </c>
      <c r="F18" s="3">
        <v>8.9999999999999998E-4</v>
      </c>
      <c r="G18" s="3">
        <v>7.4999999999999997E-3</v>
      </c>
      <c r="H18" s="3">
        <v>7.4000000000000003E-3</v>
      </c>
      <c r="I18" s="3">
        <v>9.4999999999999998E-3</v>
      </c>
      <c r="J18" s="3">
        <v>4.1000000000000003E-3</v>
      </c>
      <c r="K18" s="3">
        <v>1.9699999999999999E-2</v>
      </c>
      <c r="L18" s="3">
        <v>1.35E-2</v>
      </c>
    </row>
    <row r="19" spans="1:12" ht="15.75" customHeight="1" x14ac:dyDescent="0.15">
      <c r="B19" s="3">
        <v>4.4999999999999997E-3</v>
      </c>
      <c r="C19" s="3">
        <v>3.5000000000000001E-3</v>
      </c>
      <c r="D19" s="3">
        <v>1.2500000000000001E-2</v>
      </c>
      <c r="E19" s="3">
        <v>7.9000000000000008E-3</v>
      </c>
      <c r="F19" s="3">
        <v>3.8E-3</v>
      </c>
      <c r="G19" s="3">
        <v>2.5999999999999999E-3</v>
      </c>
      <c r="H19" s="3">
        <v>4.7000000000000002E-3</v>
      </c>
      <c r="I19" s="3">
        <v>2.8E-3</v>
      </c>
      <c r="J19" s="3">
        <v>7.0000000000000001E-3</v>
      </c>
      <c r="K19" s="3">
        <v>5.7999999999999996E-3</v>
      </c>
      <c r="L19" s="3">
        <v>1.8700000000000001E-2</v>
      </c>
    </row>
    <row r="20" spans="1:12" ht="15.75" customHeight="1" x14ac:dyDescent="0.15">
      <c r="B20" s="3">
        <v>3.2000000000000002E-3</v>
      </c>
      <c r="C20" s="3">
        <v>1.4999999999999999E-2</v>
      </c>
      <c r="D20" s="3">
        <v>7.6E-3</v>
      </c>
      <c r="E20" s="3">
        <v>5.0000000000000001E-3</v>
      </c>
      <c r="F20" s="3">
        <v>1.54E-2</v>
      </c>
      <c r="G20" s="3">
        <v>7.4000000000000003E-3</v>
      </c>
      <c r="H20" s="3">
        <v>5.9999999999999995E-4</v>
      </c>
      <c r="I20" s="3">
        <v>6.9999999999999999E-4</v>
      </c>
      <c r="J20" s="3">
        <v>1.9599999999999999E-2</v>
      </c>
      <c r="K20" s="3">
        <v>3.2899999999999999E-2</v>
      </c>
      <c r="L20" s="3">
        <v>4.7999999999999996E-3</v>
      </c>
    </row>
    <row r="21" spans="1:12" ht="15.75" customHeight="1" x14ac:dyDescent="0.15">
      <c r="B21" s="3">
        <v>8.0000000000000002E-3</v>
      </c>
      <c r="C21" s="3">
        <v>4.1000000000000003E-3</v>
      </c>
      <c r="D21" s="3">
        <v>1.4E-3</v>
      </c>
      <c r="E21" s="3">
        <v>8.9999999999999998E-4</v>
      </c>
      <c r="F21" s="3">
        <v>2E-3</v>
      </c>
      <c r="G21" s="3">
        <v>1.23E-2</v>
      </c>
      <c r="H21" s="3">
        <v>4.7000000000000002E-3</v>
      </c>
      <c r="I21" s="3">
        <v>4.3E-3</v>
      </c>
      <c r="J21" s="3">
        <v>5.1000000000000004E-3</v>
      </c>
      <c r="K21" s="3">
        <v>2.35E-2</v>
      </c>
      <c r="L21" s="3">
        <v>4.0000000000000001E-3</v>
      </c>
    </row>
    <row r="22" spans="1:12" ht="15.75" customHeight="1" x14ac:dyDescent="0.15">
      <c r="B22" s="3">
        <v>2.8999999999999998E-3</v>
      </c>
      <c r="C22" s="3">
        <v>7.0000000000000001E-3</v>
      </c>
      <c r="D22" s="3">
        <v>2.8999999999999998E-3</v>
      </c>
      <c r="E22" s="3">
        <v>1.1000000000000001E-3</v>
      </c>
      <c r="F22" s="3">
        <v>2.7000000000000001E-3</v>
      </c>
      <c r="G22" s="3">
        <v>5.1000000000000004E-3</v>
      </c>
      <c r="H22" s="3">
        <v>1.37E-2</v>
      </c>
    </row>
    <row r="23" spans="1:12" ht="15.75" customHeight="1" x14ac:dyDescent="0.15">
      <c r="B23" s="3">
        <v>8.2000000000000007E-3</v>
      </c>
      <c r="C23" s="3">
        <v>4.4000000000000003E-3</v>
      </c>
      <c r="D23" s="3">
        <v>9.1000000000000004E-3</v>
      </c>
      <c r="E23" s="3">
        <v>6.7999999999999996E-3</v>
      </c>
      <c r="F23" s="3">
        <v>3.5999999999999999E-3</v>
      </c>
      <c r="G23" s="3">
        <v>2.8999999999999998E-3</v>
      </c>
      <c r="H23" s="3">
        <v>5.0000000000000001E-4</v>
      </c>
    </row>
    <row r="24" spans="1:12" ht="15.75" customHeight="1" x14ac:dyDescent="0.15">
      <c r="B24" s="3">
        <v>2.2000000000000001E-3</v>
      </c>
      <c r="C24" s="3">
        <v>4.1000000000000003E-3</v>
      </c>
      <c r="D24" s="3">
        <v>4.8999999999999998E-3</v>
      </c>
      <c r="E24" s="3">
        <v>1.38E-2</v>
      </c>
      <c r="F24" s="3">
        <v>5.0000000000000001E-3</v>
      </c>
      <c r="G24" s="3">
        <v>1.4E-2</v>
      </c>
      <c r="H24" s="3">
        <v>4.1000000000000003E-3</v>
      </c>
    </row>
    <row r="25" spans="1:12" ht="15.75" customHeight="1" x14ac:dyDescent="0.15">
      <c r="B25" s="3">
        <v>3.0000000000000001E-3</v>
      </c>
      <c r="C25" s="3">
        <v>4.7000000000000002E-3</v>
      </c>
      <c r="D25" s="3">
        <v>7.0000000000000001E-3</v>
      </c>
      <c r="E25" s="3">
        <v>4.0000000000000001E-3</v>
      </c>
      <c r="F25" s="3">
        <v>4.0000000000000001E-3</v>
      </c>
      <c r="G25" s="3">
        <v>7.7000000000000002E-3</v>
      </c>
      <c r="H25" s="3">
        <v>3.0000000000000001E-3</v>
      </c>
    </row>
    <row r="26" spans="1:12" ht="15.75" customHeight="1" x14ac:dyDescent="0.15">
      <c r="B26" s="3">
        <v>9.2999999999999992E-3</v>
      </c>
      <c r="C26" s="3">
        <v>8.6E-3</v>
      </c>
      <c r="D26" s="3">
        <v>3.8E-3</v>
      </c>
      <c r="E26" s="3">
        <v>1.5E-3</v>
      </c>
      <c r="F26" s="3">
        <v>1.5E-3</v>
      </c>
      <c r="G26" s="3">
        <v>7.7000000000000002E-3</v>
      </c>
      <c r="H26" s="3">
        <v>3.7000000000000002E-3</v>
      </c>
    </row>
    <row r="27" spans="1:12" ht="15.75" customHeight="1" x14ac:dyDescent="0.15">
      <c r="A27" s="2" t="s">
        <v>21</v>
      </c>
      <c r="B27" s="4">
        <f t="shared" ref="B27:L27" si="1">AVERAGE(B17:B26)</f>
        <v>4.7700000000000008E-3</v>
      </c>
      <c r="C27" s="4">
        <f t="shared" si="1"/>
        <v>6.5799999999999999E-3</v>
      </c>
      <c r="D27" s="4">
        <f t="shared" si="1"/>
        <v>5.7299999999999999E-3</v>
      </c>
      <c r="E27" s="4">
        <f t="shared" si="1"/>
        <v>5.9100000000000003E-3</v>
      </c>
      <c r="F27" s="4">
        <f t="shared" si="1"/>
        <v>4.2100000000000002E-3</v>
      </c>
      <c r="G27" s="4">
        <f t="shared" si="1"/>
        <v>7.1800000000000006E-3</v>
      </c>
      <c r="H27" s="4">
        <f t="shared" si="1"/>
        <v>5.1200000000000004E-3</v>
      </c>
      <c r="I27" s="4">
        <f t="shared" si="1"/>
        <v>5.3400000000000001E-3</v>
      </c>
      <c r="J27" s="4">
        <f t="shared" si="1"/>
        <v>7.9399999999999991E-3</v>
      </c>
      <c r="K27" s="4">
        <f t="shared" si="1"/>
        <v>1.874E-2</v>
      </c>
      <c r="L27" s="4">
        <f t="shared" si="1"/>
        <v>8.5600000000000016E-3</v>
      </c>
    </row>
    <row r="28" spans="1:12" ht="15.75" customHeight="1" x14ac:dyDescent="0.15">
      <c r="B28" s="5">
        <f>AVERAGE(B27:H27)</f>
        <v>5.642857142857143E-3</v>
      </c>
      <c r="C28" s="6"/>
      <c r="D28" s="6"/>
      <c r="E28" s="6"/>
      <c r="F28" s="6"/>
      <c r="G28" s="6"/>
      <c r="H28" s="6"/>
      <c r="I28" s="5">
        <f>AVERAGE(I27:J27)</f>
        <v>6.6400000000000001E-3</v>
      </c>
      <c r="J28" s="6"/>
      <c r="K28" s="5">
        <f>AVERAGE(K27:L27)</f>
        <v>1.3650000000000001E-2</v>
      </c>
      <c r="L28" s="6"/>
    </row>
    <row r="29" spans="1:12" ht="15.75" customHeight="1" x14ac:dyDescent="0.15">
      <c r="D29" s="5">
        <f>AVERAGE(D27:E27)</f>
        <v>5.8200000000000005E-3</v>
      </c>
      <c r="E29" s="6"/>
    </row>
    <row r="30" spans="1:12" ht="15.75" customHeight="1" x14ac:dyDescent="0.15">
      <c r="B30" s="3">
        <v>10132.832</v>
      </c>
      <c r="C30" s="3">
        <v>10696.328</v>
      </c>
      <c r="D30" s="3">
        <v>10325.664000000001</v>
      </c>
      <c r="E30" s="3">
        <v>10102.290000000001</v>
      </c>
      <c r="F30" s="3">
        <v>10380.121999999999</v>
      </c>
      <c r="G30" s="3">
        <v>10398.495999999999</v>
      </c>
      <c r="H30" s="3">
        <v>12442.534</v>
      </c>
      <c r="I30" s="3">
        <v>12098.74</v>
      </c>
      <c r="J30" s="3">
        <v>10624.16</v>
      </c>
      <c r="K30" s="3">
        <v>11004.16</v>
      </c>
      <c r="L30" s="3">
        <v>10286.748</v>
      </c>
    </row>
    <row r="31" spans="1:12" ht="15.75" customHeight="1" x14ac:dyDescent="0.15">
      <c r="B31" s="3">
        <v>10989.701999999999</v>
      </c>
      <c r="C31" s="3">
        <v>13397.656000000001</v>
      </c>
      <c r="D31" s="3">
        <v>11000.907999999999</v>
      </c>
      <c r="E31" s="3">
        <v>13643.861999999999</v>
      </c>
      <c r="F31" s="3">
        <v>10166.748</v>
      </c>
      <c r="G31" s="3">
        <v>11721.992</v>
      </c>
      <c r="H31" s="3">
        <v>11021.328</v>
      </c>
      <c r="I31" s="3">
        <v>12024.824000000001</v>
      </c>
      <c r="J31" s="3">
        <v>10622.954</v>
      </c>
      <c r="K31" s="3">
        <v>10252.954</v>
      </c>
      <c r="L31" s="3">
        <v>12146.572</v>
      </c>
    </row>
    <row r="32" spans="1:12" ht="15.75" customHeight="1" x14ac:dyDescent="0.15">
      <c r="B32" s="3">
        <v>10817.954</v>
      </c>
      <c r="C32" s="3">
        <v>11289.701999999999</v>
      </c>
      <c r="D32" s="3">
        <v>10822.412</v>
      </c>
      <c r="E32" s="3">
        <v>10418.495999999999</v>
      </c>
      <c r="F32" s="3">
        <v>10469.58</v>
      </c>
      <c r="G32" s="3">
        <v>10807.954</v>
      </c>
      <c r="H32" s="3">
        <v>10097.832</v>
      </c>
      <c r="I32" s="3">
        <v>10534.038</v>
      </c>
      <c r="J32" s="3">
        <v>10279.58</v>
      </c>
      <c r="K32" s="3">
        <v>10436.206</v>
      </c>
      <c r="L32" s="3">
        <v>13793.198</v>
      </c>
    </row>
    <row r="33" spans="1:12" ht="15.75" customHeight="1" x14ac:dyDescent="0.15">
      <c r="B33" s="3">
        <v>10815.121999999999</v>
      </c>
      <c r="C33" s="3">
        <v>11546.992</v>
      </c>
      <c r="D33" s="3">
        <v>11599.16</v>
      </c>
      <c r="E33" s="3">
        <v>11220.786</v>
      </c>
      <c r="F33" s="3">
        <v>11846.45</v>
      </c>
      <c r="G33" s="3">
        <v>13681.03</v>
      </c>
      <c r="H33" s="3">
        <v>10146.748</v>
      </c>
      <c r="I33" s="3">
        <v>10470.121999999999</v>
      </c>
      <c r="J33" s="3">
        <v>10347.412</v>
      </c>
      <c r="K33" s="3">
        <v>13354.281999999999</v>
      </c>
      <c r="L33" s="3">
        <v>11220.786</v>
      </c>
    </row>
    <row r="34" spans="1:12" ht="15.75" customHeight="1" x14ac:dyDescent="0.15">
      <c r="B34" s="3">
        <v>12515.487999999999</v>
      </c>
      <c r="C34" s="3">
        <v>11130.244000000001</v>
      </c>
      <c r="D34" s="3">
        <v>10219.58</v>
      </c>
      <c r="E34" s="3">
        <v>10222.290000000001</v>
      </c>
      <c r="F34" s="3">
        <v>10159.58</v>
      </c>
      <c r="G34" s="3">
        <v>12639.281999999999</v>
      </c>
      <c r="H34" s="3">
        <v>10773.495999999999</v>
      </c>
      <c r="I34" s="3">
        <v>10165.664000000001</v>
      </c>
      <c r="J34" s="3">
        <v>11040.907999999999</v>
      </c>
      <c r="K34" s="3">
        <v>14248.861999999999</v>
      </c>
      <c r="L34" s="3">
        <v>10990.786</v>
      </c>
    </row>
    <row r="35" spans="1:12" ht="15.75" customHeight="1" x14ac:dyDescent="0.15">
      <c r="B35" s="3">
        <v>10866.328</v>
      </c>
      <c r="C35" s="3">
        <v>10242.412</v>
      </c>
      <c r="D35" s="3">
        <v>10326.748</v>
      </c>
      <c r="E35" s="3">
        <v>10029.458000000001</v>
      </c>
      <c r="F35" s="3">
        <v>10251.206</v>
      </c>
      <c r="G35" s="3">
        <v>10958.495999999999</v>
      </c>
      <c r="H35" s="3">
        <v>13531.694</v>
      </c>
    </row>
    <row r="36" spans="1:12" ht="15.75" customHeight="1" x14ac:dyDescent="0.15">
      <c r="B36" s="3">
        <v>11801.992</v>
      </c>
      <c r="C36" s="3">
        <v>10240.121999999999</v>
      </c>
      <c r="D36" s="3">
        <v>11510.786</v>
      </c>
      <c r="E36" s="3">
        <v>11052.954</v>
      </c>
      <c r="F36" s="3">
        <v>10570.786</v>
      </c>
      <c r="G36" s="3">
        <v>10659.038</v>
      </c>
      <c r="H36" s="3">
        <v>10278.374</v>
      </c>
    </row>
    <row r="37" spans="1:12" ht="15.75" customHeight="1" x14ac:dyDescent="0.15">
      <c r="B37" s="3">
        <v>10181.748</v>
      </c>
      <c r="C37" s="3">
        <v>10708.495999999999</v>
      </c>
      <c r="D37" s="3">
        <v>11686.45</v>
      </c>
      <c r="E37" s="3">
        <v>12889.281999999999</v>
      </c>
      <c r="F37" s="3">
        <v>10794.038</v>
      </c>
      <c r="G37" s="3">
        <v>11783.075999999999</v>
      </c>
      <c r="H37" s="3">
        <v>10757.954</v>
      </c>
    </row>
    <row r="38" spans="1:12" ht="15.75" customHeight="1" x14ac:dyDescent="0.15">
      <c r="B38" s="3">
        <v>10283.495999999999</v>
      </c>
      <c r="C38" s="3">
        <v>11284.701999999999</v>
      </c>
      <c r="D38" s="3">
        <v>10297.412</v>
      </c>
      <c r="E38" s="3">
        <v>11376.87</v>
      </c>
      <c r="F38" s="3">
        <v>11111.87</v>
      </c>
      <c r="G38" s="3">
        <v>10534.701999999999</v>
      </c>
      <c r="H38" s="3">
        <v>11064.701999999999</v>
      </c>
    </row>
    <row r="39" spans="1:12" ht="15.75" customHeight="1" x14ac:dyDescent="0.15">
      <c r="B39" s="3">
        <v>12709.824000000001</v>
      </c>
      <c r="C39" s="3">
        <v>12815.907999999999</v>
      </c>
      <c r="D39" s="3">
        <v>10821.328</v>
      </c>
      <c r="E39" s="3">
        <v>10370.664000000001</v>
      </c>
      <c r="F39" s="3">
        <v>10199.58</v>
      </c>
      <c r="G39" s="3">
        <v>11689.16</v>
      </c>
      <c r="H39" s="3">
        <v>11188.495999999999</v>
      </c>
    </row>
    <row r="40" spans="1:12" ht="15.75" customHeight="1" x14ac:dyDescent="0.15">
      <c r="A40" s="2" t="s">
        <v>22</v>
      </c>
      <c r="B40" s="4">
        <f t="shared" ref="B40:L40" si="2">AVERAGE(B30:B39)</f>
        <v>11111.4486</v>
      </c>
      <c r="C40" s="4">
        <f t="shared" si="2"/>
        <v>11335.2562</v>
      </c>
      <c r="D40" s="4">
        <f t="shared" si="2"/>
        <v>10861.0448</v>
      </c>
      <c r="E40" s="4">
        <f t="shared" si="2"/>
        <v>11132.6952</v>
      </c>
      <c r="F40" s="4">
        <f t="shared" si="2"/>
        <v>10594.995999999999</v>
      </c>
      <c r="G40" s="4">
        <f t="shared" si="2"/>
        <v>11487.322600000001</v>
      </c>
      <c r="H40" s="4">
        <f t="shared" si="2"/>
        <v>11130.3158</v>
      </c>
      <c r="I40" s="4">
        <f t="shared" si="2"/>
        <v>11058.677600000001</v>
      </c>
      <c r="J40" s="4">
        <f t="shared" si="2"/>
        <v>10583.002799999998</v>
      </c>
      <c r="K40" s="4">
        <f t="shared" si="2"/>
        <v>11859.292799999999</v>
      </c>
      <c r="L40" s="4">
        <f t="shared" si="2"/>
        <v>11687.617999999999</v>
      </c>
    </row>
    <row r="41" spans="1:12" ht="15.75" customHeight="1" x14ac:dyDescent="0.15">
      <c r="B41" s="5">
        <f>AVERAGE(B40:H40)</f>
        <v>11093.297028571427</v>
      </c>
      <c r="C41" s="6"/>
      <c r="D41" s="6"/>
      <c r="E41" s="6"/>
      <c r="F41" s="6"/>
      <c r="G41" s="6"/>
      <c r="H41" s="6"/>
      <c r="I41" s="5">
        <f>AVERAGE(I40:J40)</f>
        <v>10820.840199999999</v>
      </c>
      <c r="J41" s="6"/>
      <c r="K41" s="5">
        <f>AVERAGE(K40:L40)</f>
        <v>11773.455399999999</v>
      </c>
      <c r="L41" s="6"/>
    </row>
    <row r="42" spans="1:12" ht="15.75" customHeight="1" x14ac:dyDescent="0.15">
      <c r="D42" s="5">
        <f>AVERAGE(D40:E40)</f>
        <v>10996.869999999999</v>
      </c>
      <c r="E42" s="6"/>
    </row>
  </sheetData>
  <mergeCells count="15">
    <mergeCell ref="D42:E42"/>
    <mergeCell ref="B1:H1"/>
    <mergeCell ref="I1:J1"/>
    <mergeCell ref="K1:L1"/>
    <mergeCell ref="B15:H15"/>
    <mergeCell ref="I15:J15"/>
    <mergeCell ref="K15:L15"/>
    <mergeCell ref="D16:E16"/>
    <mergeCell ref="B28:H28"/>
    <mergeCell ref="I28:J28"/>
    <mergeCell ref="K28:L28"/>
    <mergeCell ref="D29:E29"/>
    <mergeCell ref="B41:H41"/>
    <mergeCell ref="I41:J41"/>
    <mergeCell ref="K41:L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2024-10-06T12:55:16Z</dcterms:modified>
</cp:coreProperties>
</file>